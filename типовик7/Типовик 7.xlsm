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B:\Boris\Documents\MIREA\Course2\Vychmat\типовик7\"/>
    </mc:Choice>
  </mc:AlternateContent>
  <xr:revisionPtr revIDLastSave="0" documentId="13_ncr:1_{E1B63568-958A-4B2A-9F8D-729E498034A0}" xr6:coauthVersionLast="47" xr6:coauthVersionMax="47" xr10:uidLastSave="{00000000-0000-0000-0000-000000000000}"/>
  <bookViews>
    <workbookView xWindow="-120" yWindow="-120" windowWidth="29040" windowHeight="15720" xr2:uid="{456D3BD3-C1E1-4259-A4E2-224B01D7FAD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H15" i="1" s="1"/>
  <c r="K15" i="1"/>
  <c r="G15" i="1"/>
  <c r="C15" i="1"/>
  <c r="L15" i="1" l="1"/>
  <c r="D15" i="1"/>
  <c r="M15" i="1" a="1"/>
  <c r="D16" i="1" a="1"/>
  <c r="D16" i="1" l="1"/>
  <c r="M15" i="1"/>
  <c r="G16" i="1"/>
  <c r="C16" i="1"/>
  <c r="C17" i="1" s="1"/>
  <c r="C18" i="1" s="1"/>
  <c r="C19" i="1" s="1"/>
  <c r="K16" i="1"/>
  <c r="K17" i="1" s="1"/>
  <c r="K18" i="1" s="1"/>
  <c r="N15" i="1" a="1"/>
  <c r="H16" i="1" a="1"/>
  <c r="D17" i="1" a="1"/>
  <c r="N15" i="1" l="1"/>
  <c r="H16" i="1"/>
  <c r="D17" i="1"/>
  <c r="G17" i="1"/>
  <c r="G18" i="1" s="1"/>
  <c r="G19" i="1" s="1"/>
  <c r="K19" i="1"/>
  <c r="O15" i="1" a="1"/>
  <c r="D18" i="1" a="1"/>
  <c r="H17" i="1" a="1"/>
  <c r="O15" i="1" l="1"/>
  <c r="D18" i="1"/>
  <c r="H17" i="1"/>
  <c r="H18" i="1" a="1"/>
  <c r="D19" i="1" a="1"/>
  <c r="P15" i="1" a="1"/>
  <c r="H18" i="1" l="1"/>
  <c r="D19" i="1"/>
  <c r="P15" i="1"/>
  <c r="L16" i="1" s="1"/>
  <c r="M16" i="1" a="1"/>
  <c r="H19" i="1" a="1"/>
  <c r="H19" i="1" l="1"/>
  <c r="M16" i="1"/>
  <c r="N16" i="1" a="1"/>
  <c r="N16" i="1" l="1"/>
  <c r="O16" i="1" a="1"/>
  <c r="O16" i="1" l="1"/>
  <c r="P16" i="1" a="1"/>
  <c r="P16" i="1" l="1"/>
  <c r="L17" i="1" s="1"/>
  <c r="M17" i="1" a="1"/>
  <c r="M17" i="1" l="1"/>
  <c r="N17" i="1" a="1"/>
  <c r="N17" i="1" l="1"/>
  <c r="O17" i="1" a="1"/>
  <c r="O17" i="1" l="1"/>
  <c r="P17" i="1" a="1"/>
  <c r="P17" i="1" l="1"/>
  <c r="L18" i="1" s="1"/>
  <c r="M18" i="1" a="1"/>
  <c r="M18" i="1" l="1"/>
  <c r="N18" i="1" a="1"/>
  <c r="N18" i="1" l="1"/>
  <c r="O18" i="1" a="1"/>
  <c r="O18" i="1" l="1"/>
  <c r="P18" i="1" a="1"/>
  <c r="P18" i="1" l="1"/>
  <c r="L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<sst xmlns="http://schemas.openxmlformats.org/spreadsheetml/2006/main" count="32" uniqueCount="25">
  <si>
    <t>K</t>
  </si>
  <si>
    <t>L</t>
  </si>
  <si>
    <t>Вот тут ввести свои K и L</t>
  </si>
  <si>
    <t>y0</t>
  </si>
  <si>
    <t>Метод Эйлера</t>
  </si>
  <si>
    <t>xi</t>
  </si>
  <si>
    <t>yi</t>
  </si>
  <si>
    <t>i</t>
  </si>
  <si>
    <t>x0</t>
  </si>
  <si>
    <t>h</t>
  </si>
  <si>
    <t>Метод Трапеций</t>
  </si>
  <si>
    <t>Метод Рунге-Кутты</t>
  </si>
  <si>
    <t>K1i</t>
  </si>
  <si>
    <t>K2i</t>
  </si>
  <si>
    <t>K3i</t>
  </si>
  <si>
    <t>K4i</t>
  </si>
  <si>
    <t>STEP-BY-STEP:</t>
  </si>
  <si>
    <t>1.</t>
  </si>
  <si>
    <t>Вставить свои значения K и L в ячейки под K и L</t>
  </si>
  <si>
    <t>2.</t>
  </si>
  <si>
    <t>ВАЖНО!!!</t>
  </si>
  <si>
    <t>Нажать CTRL+SHIFT+ALT+F9</t>
  </si>
  <si>
    <t>Чтобы формулы обновились и посчитали правильное значение</t>
  </si>
  <si>
    <t>В табличке используются макросы, так что нужно их разрешить, если Excel просит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</si>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</sst>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2" borderId="9" xfId="0" applyFill="1" applyBorder="1"/>
    <xf numFmtId="0" fontId="0" fillId="2" borderId="10" xfId="0" applyFill="1" applyBorder="1"/>
    <xf numFmtId="0" fontId="0" fillId="3" borderId="7" xfId="0" applyFill="1" applyBorder="1"/>
    <xf numFmtId="0" fontId="1" fillId="0" borderId="0" xfId="0" applyFont="1"/>
    <xf numFmtId="0" fontId="0" fillId="0" borderId="1" xfId="0" applyBorder="1"/>
    <xf numFmtId="0" fontId="0" fillId="4" borderId="1" xfId="0" applyFill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0" fontId="3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487681</xdr:colOff>
      <xdr:row>0</xdr:row>
      <xdr:rowOff>121921</xdr:rowOff>
    </xdr:from>
    <xdr:to>
      <xdr:col>9</xdr:col>
      <xdr:colOff>472441</xdr:colOff>
      <xdr:row>3</xdr:row>
      <xdr:rowOff>16271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6DC6AF1-BF3E-4F79-A044-C79618B94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1" y="121921"/>
          <a:ext cx="3642360" cy="4429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26090-7F2D-4303-BEF9-7276B2E3D293}">
  <sheetPr codeName="Sheet1"/>
  <dimension ref="A1:P27"/>
  <sheetViews>
    <sheetView tabSelected="1" zoomScale="130" zoomScaleNormal="130" workbookViewId="0">
      <selection activeCell="E12" sqref="E12"/>
    </sheetView>
  </sheetViews>
  <sheetFormatPr defaultRowHeight="15" x14ac:dyDescent="0.25"/>
  <cols>
    <col min="14" max="14" width="10.42578125" customWidth="1"/>
  </cols>
  <sheetData>
    <row r="1" spans="1:16" x14ac:dyDescent="0.25">
      <c r="A1" s="23" t="s">
        <v>2</v>
      </c>
    </row>
    <row r="2" spans="1:16" x14ac:dyDescent="0.25">
      <c r="B2" s="12" t="s">
        <v>0</v>
      </c>
      <c r="C2" s="12" t="s">
        <v>1</v>
      </c>
    </row>
    <row r="3" spans="1:16" x14ac:dyDescent="0.25">
      <c r="B3" s="13" t="s">
        <v>24</v>
      </c>
      <c r="C3" s="13" t="s">
        <v>24</v>
      </c>
    </row>
    <row r="6" spans="1:16" x14ac:dyDescent="0.25">
      <c r="F6" t="s">
        <v>8</v>
      </c>
      <c r="G6" t="s">
        <v>3</v>
      </c>
      <c r="I6" t="s">
        <v>9</v>
      </c>
    </row>
    <row r="7" spans="1:16" x14ac:dyDescent="0.25">
      <c r="F7">
        <v>0</v>
      </c>
      <c r="G7" t="str">
        <f>C3</f>
        <v>x</v>
      </c>
      <c r="I7">
        <v>0.5</v>
      </c>
    </row>
    <row r="12" spans="1:16" ht="15.75" thickBot="1" x14ac:dyDescent="0.3"/>
    <row r="13" spans="1:16" ht="15.75" thickBot="1" x14ac:dyDescent="0.3">
      <c r="B13" s="14" t="s">
        <v>4</v>
      </c>
      <c r="C13" s="15"/>
      <c r="D13" s="16"/>
      <c r="F13" s="14" t="s">
        <v>10</v>
      </c>
      <c r="G13" s="15"/>
      <c r="H13" s="16"/>
      <c r="J13" s="17" t="s">
        <v>11</v>
      </c>
      <c r="K13" s="18"/>
      <c r="L13" s="18"/>
      <c r="M13" s="18"/>
      <c r="N13" s="18"/>
      <c r="O13" s="18"/>
      <c r="P13" s="19"/>
    </row>
    <row r="14" spans="1:16" ht="15.75" thickTop="1" x14ac:dyDescent="0.25">
      <c r="B14" s="3" t="s">
        <v>7</v>
      </c>
      <c r="C14" s="4" t="s">
        <v>5</v>
      </c>
      <c r="D14" s="5" t="s">
        <v>6</v>
      </c>
      <c r="F14" s="3" t="s">
        <v>7</v>
      </c>
      <c r="G14" s="4" t="s">
        <v>5</v>
      </c>
      <c r="H14" s="5" t="s">
        <v>6</v>
      </c>
      <c r="J14" s="3" t="s">
        <v>7</v>
      </c>
      <c r="K14" s="4" t="s">
        <v>5</v>
      </c>
      <c r="L14" s="4" t="s">
        <v>6</v>
      </c>
      <c r="M14" s="4" t="s">
        <v>12</v>
      </c>
      <c r="N14" s="4" t="s">
        <v>13</v>
      </c>
      <c r="O14" s="4" t="s">
        <v>14</v>
      </c>
      <c r="P14" s="5" t="s">
        <v>15</v>
      </c>
    </row>
    <row r="15" spans="1:16" x14ac:dyDescent="0.25">
      <c r="B15" s="3">
        <v>0</v>
      </c>
      <c r="C15" s="1">
        <f>ROUND($F$7, 3)</f>
        <v>0</v>
      </c>
      <c r="D15" s="6" t="e">
        <f>ROUND($G$7, 3)</f>
        <v>#VALUE!</v>
      </c>
      <c r="F15" s="3">
        <v>0</v>
      </c>
      <c r="G15" s="1">
        <f>ROUND($F$7, 3)</f>
        <v>0</v>
      </c>
      <c r="H15" s="6" t="e">
        <f>ROUND($G$7, 3)</f>
        <v>#VALUE!</v>
      </c>
      <c r="J15" s="3">
        <v>0</v>
      </c>
      <c r="K15" s="1">
        <f>ROUND($F$7, 3)</f>
        <v>0</v>
      </c>
      <c r="L15" s="1" t="e">
        <f>ROUND($G$7, 3)</f>
        <v>#VALUE!</v>
      </c>
      <c r="M15" s="2" t="e" cm="1">
        <f t="array" ref="M15">ROUND(yPrime(K15,L15), 3)</f>
        <v>#VALUE!</v>
      </c>
      <c r="N15" s="2" t="e" cm="1">
        <f t="array" ref="N15">ROUND(yPrime(K15+($I$7/2),L15+(($I$7*M15)/2)), 3)</f>
        <v>#VALUE!</v>
      </c>
      <c r="O15" s="2" t="e" cm="1">
        <f t="array" ref="O15">ROUND(yPrime(K15+($I$7/2),L15+(($I$7*N15)/2)), 3)</f>
        <v>#VALUE!</v>
      </c>
      <c r="P15" s="10" t="e" cm="1">
        <f t="array" ref="P15">ROUND(yPrime(K15+$I$7,L15+$I$7*O15), 3)</f>
        <v>#VALUE!</v>
      </c>
    </row>
    <row r="16" spans="1:16" x14ac:dyDescent="0.25">
      <c r="B16" s="3">
        <v>1</v>
      </c>
      <c r="C16" s="1">
        <f>ROUND(C15+$I$7, 3)</f>
        <v>0.5</v>
      </c>
      <c r="D16" s="6" t="e" cm="1">
        <f t="array" ref="D16">ROUND(D15+$I$7*yPrime(C15,D15), 3)</f>
        <v>#VALUE!</v>
      </c>
      <c r="F16" s="3">
        <v>1</v>
      </c>
      <c r="G16" s="1">
        <f>ROUND(G15+$I$7, 3)</f>
        <v>0.5</v>
      </c>
      <c r="H16" s="6" t="e" cm="1">
        <f t="array" ref="H16">ROUND(H15+($I$7/2)*(yPrime(G15,H15)+yPrime(G16,(H15+$I$7*yPrime(G15,H15)))), 3)</f>
        <v>#VALUE!</v>
      </c>
      <c r="J16" s="3">
        <v>1</v>
      </c>
      <c r="K16" s="1">
        <f>ROUND(K15+$I$7, 3)</f>
        <v>0.5</v>
      </c>
      <c r="L16" s="1" t="e">
        <f>ROUND(L15+($I$7/6)*(M15+2*N15+2*O15+P15), 3)</f>
        <v>#VALUE!</v>
      </c>
      <c r="M16" s="2" t="e" cm="1">
        <f t="array" ref="M16">ROUND(yPrime(K16,L16), 3)</f>
        <v>#VALUE!</v>
      </c>
      <c r="N16" s="2" t="e" cm="1">
        <f t="array" ref="N16">ROUND(yPrime(K16+($I$7/2),L16+(($I$7*M16)/2)), 3)</f>
        <v>#VALUE!</v>
      </c>
      <c r="O16" s="2" t="e" cm="1">
        <f t="array" ref="O16">ROUND(yPrime(K16+($I$7/2),L16+(($I$7*N16)/2)), 3)</f>
        <v>#VALUE!</v>
      </c>
      <c r="P16" s="10" t="e" cm="1">
        <f t="array" ref="P16">ROUND(yPrime(K16+$I$7,L16+$I$7*O16), 3)</f>
        <v>#VALUE!</v>
      </c>
    </row>
    <row r="17" spans="2:16" x14ac:dyDescent="0.25">
      <c r="B17" s="3">
        <v>2</v>
      </c>
      <c r="C17" s="1">
        <f>ROUND(C16+$I$7, 3)</f>
        <v>1</v>
      </c>
      <c r="D17" s="6" t="e" cm="1">
        <f t="array" ref="D17">ROUND(D16+$I$7*yPrime(C16,D16), 3)</f>
        <v>#VALUE!</v>
      </c>
      <c r="F17" s="3">
        <v>2</v>
      </c>
      <c r="G17" s="1">
        <f>ROUND(G16+$I$7, 3)</f>
        <v>1</v>
      </c>
      <c r="H17" s="6" t="e" cm="1">
        <f t="array" ref="H17">ROUND(H16+($I$7/2)*(yPrime(G16,H16)+yPrime(G17,(H16+$I$7*yPrime(G16,H16)))), 3)</f>
        <v>#VALUE!</v>
      </c>
      <c r="J17" s="3">
        <v>2</v>
      </c>
      <c r="K17" s="1">
        <f>ROUND(K16+$I$7, 3)</f>
        <v>1</v>
      </c>
      <c r="L17" s="1" t="e">
        <f>ROUND(L16+($I$7/6)*(M16+2*N16+2*O16+P16), 3)</f>
        <v>#VALUE!</v>
      </c>
      <c r="M17" s="2" t="e" cm="1">
        <f t="array" ref="M17">ROUND(yPrime(K17,L17), 3)</f>
        <v>#VALUE!</v>
      </c>
      <c r="N17" s="2" t="e" cm="1">
        <f t="array" ref="N17">ROUND(yPrime(K17+($I$7/2),L17+(($I$7*M17)/2)), 3)</f>
        <v>#VALUE!</v>
      </c>
      <c r="O17" s="2" t="e" cm="1">
        <f t="array" ref="O17">ROUND(yPrime(K17+($I$7/2),L17+(($I$7*N17)/2)), 3)</f>
        <v>#VALUE!</v>
      </c>
      <c r="P17" s="10" t="e" cm="1">
        <f t="array" ref="P17">ROUND(yPrime(K17+$I$7,L17+$I$7*O17), 3)</f>
        <v>#VALUE!</v>
      </c>
    </row>
    <row r="18" spans="2:16" x14ac:dyDescent="0.25">
      <c r="B18" s="3">
        <v>3</v>
      </c>
      <c r="C18" s="1">
        <f>ROUND(C17+$I$7, 3)</f>
        <v>1.5</v>
      </c>
      <c r="D18" s="6" t="e" cm="1">
        <f t="array" ref="D18">ROUND(D17+$I$7*yPrime(C17,D17), 3)</f>
        <v>#VALUE!</v>
      </c>
      <c r="F18" s="3">
        <v>3</v>
      </c>
      <c r="G18" s="1">
        <f>ROUND(G17+$I$7, 3)</f>
        <v>1.5</v>
      </c>
      <c r="H18" s="6" t="e" cm="1">
        <f t="array" ref="H18">ROUND(H17+($I$7/2)*(yPrime(G17,H17)+yPrime(G18,(H17+$I$7*yPrime(G17,H17)))), 3)</f>
        <v>#VALUE!</v>
      </c>
      <c r="J18" s="3">
        <v>3</v>
      </c>
      <c r="K18" s="1">
        <f>ROUND(K17+$I$7, 3)</f>
        <v>1.5</v>
      </c>
      <c r="L18" s="1" t="e">
        <f>ROUND(L17+($I$7/6)*(M17+2*N17+2*O17+P17), 3)</f>
        <v>#VALUE!</v>
      </c>
      <c r="M18" s="2" t="e" cm="1">
        <f t="array" ref="M18">ROUND(yPrime(K18,L18), 3)</f>
        <v>#VALUE!</v>
      </c>
      <c r="N18" s="2" t="e" cm="1">
        <f t="array" ref="N18">ROUND(yPrime(K18+($I$7/2),L18+(($I$7*M18)/2)), 3)</f>
        <v>#VALUE!</v>
      </c>
      <c r="O18" s="2" t="e" cm="1">
        <f t="array" ref="O18">ROUND(yPrime(K18+($I$7/2),L18+(($I$7*N18)/2)), 3)</f>
        <v>#VALUE!</v>
      </c>
      <c r="P18" s="10" t="e" cm="1">
        <f t="array" ref="P18">ROUND(yPrime(K18+$I$7,L18+$I$7*O18), 3)</f>
        <v>#VALUE!</v>
      </c>
    </row>
    <row r="19" spans="2:16" ht="15.75" thickBot="1" x14ac:dyDescent="0.3">
      <c r="B19" s="7">
        <v>4</v>
      </c>
      <c r="C19" s="8">
        <f>ROUND(C18+$I$7, 3)</f>
        <v>2</v>
      </c>
      <c r="D19" s="9" t="e" cm="1">
        <f t="array" ref="D19">ROUND(D18+$I$7*yPrime(C18,D18), 3)</f>
        <v>#VALUE!</v>
      </c>
      <c r="F19" s="7">
        <v>4</v>
      </c>
      <c r="G19" s="8">
        <f>ROUND(G18+$I$7, 3)</f>
        <v>2</v>
      </c>
      <c r="H19" s="9" t="e" cm="1">
        <f t="array" ref="H19">ROUND(H18+($I$7/2)*(yPrime(G18,H18)+yPrime(G19,(H18+$I$7*yPrime(G18,H18)))), 3)</f>
        <v>#VALUE!</v>
      </c>
      <c r="J19" s="7">
        <v>4</v>
      </c>
      <c r="K19" s="8">
        <f>ROUND(K18+$I$7, 3)</f>
        <v>2</v>
      </c>
      <c r="L19" s="8" t="e">
        <f>ROUND(L18+($I$7/6)*(M18+2*N18+2*O18+P18), 3)</f>
        <v>#VALUE!</v>
      </c>
      <c r="M19" s="21"/>
      <c r="N19" s="21"/>
      <c r="O19" s="21"/>
      <c r="P19" s="22"/>
    </row>
    <row r="22" spans="2:16" x14ac:dyDescent="0.25">
      <c r="B22" s="20" t="s">
        <v>16</v>
      </c>
      <c r="C22" s="20"/>
      <c r="D22" s="20"/>
      <c r="E22" s="20"/>
    </row>
    <row r="23" spans="2:16" x14ac:dyDescent="0.25">
      <c r="B23" t="s">
        <v>17</v>
      </c>
      <c r="C23" t="s">
        <v>18</v>
      </c>
    </row>
    <row r="24" spans="2:16" x14ac:dyDescent="0.25">
      <c r="B24" t="s">
        <v>19</v>
      </c>
      <c r="C24" s="11" t="s">
        <v>20</v>
      </c>
    </row>
    <row r="25" spans="2:16" x14ac:dyDescent="0.25">
      <c r="C25" t="s">
        <v>23</v>
      </c>
    </row>
    <row r="26" spans="2:16" x14ac:dyDescent="0.25">
      <c r="C26" t="s">
        <v>21</v>
      </c>
    </row>
    <row r="27" spans="2:16" x14ac:dyDescent="0.25">
      <c r="C27" t="s">
        <v>22</v>
      </c>
    </row>
  </sheetData>
  <mergeCells count="4">
    <mergeCell ref="B13:D13"/>
    <mergeCell ref="F13:H13"/>
    <mergeCell ref="J13:P13"/>
    <mergeCell ref="B22:E2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Борис Васильев</dc:creator>
  <cp:lastModifiedBy>Boris</cp:lastModifiedBy>
  <dcterms:created xsi:type="dcterms:W3CDTF">2024-12-02T17:44:07Z</dcterms:created>
  <dcterms:modified xsi:type="dcterms:W3CDTF">2024-12-04T15:59:11Z</dcterms:modified>
</cp:coreProperties>
</file>