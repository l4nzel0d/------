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oris\Documents\UNI\Вычмат\"/>
    </mc:Choice>
  </mc:AlternateContent>
  <xr:revisionPtr revIDLastSave="0" documentId="13_ncr:1_{C4AA67B0-D313-4133-AC6C-193B096F3661}" xr6:coauthVersionLast="47" xr6:coauthVersionMax="47" xr10:uidLastSave="{00000000-0000-0000-0000-000000000000}"/>
  <bookViews>
    <workbookView xWindow="-108" yWindow="-108" windowWidth="23256" windowHeight="13896" xr2:uid="{456D3BD3-C1E1-4259-A4E2-224B01D7FA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I15" i="1" s="1"/>
  <c r="C24" i="1"/>
  <c r="H15" i="1"/>
  <c r="C15" i="1"/>
  <c r="D24" i="1" l="1"/>
  <c r="D15" i="1"/>
  <c r="E24" i="1" a="1"/>
  <c r="D16" i="1" a="1"/>
  <c r="E24" i="1" l="1"/>
  <c r="D16" i="1"/>
  <c r="H16" i="1"/>
  <c r="C16" i="1"/>
  <c r="C17" i="1" s="1"/>
  <c r="C18" i="1" s="1"/>
  <c r="C19" i="1" s="1"/>
  <c r="C25" i="1"/>
  <c r="C26" i="1" s="1"/>
  <c r="C27" i="1" s="1"/>
  <c r="I16" i="1" a="1"/>
  <c r="F24" i="1" a="1"/>
  <c r="D17" i="1" a="1"/>
  <c r="F24" i="1" l="1"/>
  <c r="I16" i="1"/>
  <c r="D17" i="1"/>
  <c r="H17" i="1"/>
  <c r="H18" i="1" s="1"/>
  <c r="H19" i="1" s="1"/>
  <c r="C28" i="1"/>
  <c r="G24" i="1" a="1"/>
  <c r="I17" i="1" a="1"/>
  <c r="D18" i="1" a="1"/>
  <c r="G24" i="1" l="1"/>
  <c r="D18" i="1"/>
  <c r="I17" i="1"/>
  <c r="D19" i="1" a="1"/>
  <c r="I18" i="1" a="1"/>
  <c r="H24" i="1" a="1"/>
  <c r="I18" i="1" l="1"/>
  <c r="D19" i="1"/>
  <c r="H24" i="1"/>
  <c r="D25" i="1" s="1"/>
  <c r="E25" i="1" a="1"/>
  <c r="I19" i="1" a="1"/>
  <c r="I19" i="1" l="1"/>
  <c r="E25" i="1"/>
  <c r="F25" i="1" a="1"/>
  <c r="F25" i="1" l="1"/>
  <c r="G25" i="1" a="1"/>
  <c r="G25" i="1" l="1"/>
  <c r="H25" i="1" a="1"/>
  <c r="H25" i="1" l="1"/>
  <c r="D26" i="1" s="1"/>
  <c r="E26" i="1" a="1"/>
  <c r="E26" i="1" l="1"/>
  <c r="F26" i="1" a="1"/>
  <c r="F26" i="1" l="1"/>
  <c r="G26" i="1" a="1"/>
  <c r="G26" i="1" l="1"/>
  <c r="H26" i="1" a="1"/>
  <c r="H26" i="1" l="1"/>
  <c r="D27" i="1" s="1"/>
  <c r="E27" i="1" a="1"/>
  <c r="E27" i="1" l="1"/>
  <c r="F27" i="1" a="1"/>
  <c r="F27" i="1" l="1"/>
  <c r="G27" i="1" a="1"/>
  <c r="G27" i="1" l="1"/>
  <c r="H27" i="1" a="1"/>
  <c r="H27" i="1" l="1"/>
  <c r="D28" i="1" s="1"/>
  <c r="E28" i="1" a="1"/>
  <c r="E28" i="1" l="1"/>
  <c r="F28" i="1" a="1"/>
  <c r="F28" i="1" l="1"/>
  <c r="G28" i="1" a="1"/>
  <c r="G28" i="1" l="1"/>
  <c r="H28" i="1" a="1"/>
  <c r="H2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<sst xmlns="http://schemas.openxmlformats.org/spreadsheetml/2006/main" count="32" uniqueCount="25">
  <si>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</si>
  <si>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</si>
  <si>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</si>
  <si>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</si>
  <si>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</si>
  <si>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</si>
  <si>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</si>
  <si>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</si>
  <si>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</si>
  <si>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</si>
  <si>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</si>
  <si>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</si>
  <si>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</si>
  <si>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</si>
  <si>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</si>
  <si>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</si>
  <si>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</si>
  <si>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</si>
  <si>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</si>
  <si>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</si>
  <si>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</si>
  <si>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Нажать CTRL+SHIFT+ALT+F9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</si>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</sst>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1" fillId="0" borderId="0" xfId="0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8"/>
  <sheetViews>
    <sheetView tabSelected="1" topLeftCell="A2" workbookViewId="0">
      <selection activeCell="B4" sqref="B4"/>
    </sheetView>
  </sheetViews>
  <sheetFormatPr defaultRowHeight="14.4" x14ac:dyDescent="0.3"/>
  <cols>
    <col min="14" max="14" width="73" bestFit="1" customWidth="1"/>
  </cols>
  <sheetData>
    <row r="1" spans="1:16" x14ac:dyDescent="0.3">
      <c r="A1" t="s">
        <v>2</v>
      </c>
    </row>
    <row r="2" spans="1:16" x14ac:dyDescent="0.3">
      <c r="B2" t="s">
        <v>0</v>
      </c>
      <c r="C2" t="s">
        <v>1</v>
      </c>
      <c r="M2" s="20" t="s">
        <v>16</v>
      </c>
      <c r="N2" s="20"/>
      <c r="O2" s="20"/>
      <c r="P2" s="20"/>
    </row>
    <row r="3" spans="1:16" x14ac:dyDescent="0.3">
      <c r="B3" t="s">
        <v>24</v>
      </c>
      <c r="C3" t="s">
        <v>24</v>
      </c>
      <c r="M3" t="s">
        <v>17</v>
      </c>
      <c r="N3" t="s">
        <v>18</v>
      </c>
    </row>
    <row r="4" spans="1:16" x14ac:dyDescent="0.3">
      <c r="M4" t="s">
        <v>19</v>
      </c>
      <c r="N4" s="13" t="s">
        <v>20</v>
      </c>
    </row>
    <row r="5" spans="1:16" x14ac:dyDescent="0.3">
      <c r="N5" t="s">
        <v>21</v>
      </c>
    </row>
    <row r="6" spans="1:16" x14ac:dyDescent="0.3">
      <c r="F6" t="s">
        <v>8</v>
      </c>
      <c r="G6" t="s">
        <v>3</v>
      </c>
      <c r="I6" t="s">
        <v>9</v>
      </c>
      <c r="N6" t="s">
        <v>22</v>
      </c>
    </row>
    <row r="7" spans="1:16" x14ac:dyDescent="0.3">
      <c r="F7">
        <v>0</v>
      </c>
      <c r="G7" t="str">
        <f>C3</f>
        <v>x</v>
      </c>
      <c r="I7">
        <v>0.5</v>
      </c>
    </row>
    <row r="9" spans="1:16" x14ac:dyDescent="0.3">
      <c r="N9" t="s">
        <v>23</v>
      </c>
    </row>
    <row r="12" spans="1:16" ht="15" thickBot="1" x14ac:dyDescent="0.35"/>
    <row r="13" spans="1:16" ht="15" thickBot="1" x14ac:dyDescent="0.35">
      <c r="B13" s="14" t="s">
        <v>4</v>
      </c>
      <c r="C13" s="15"/>
      <c r="D13" s="16"/>
      <c r="G13" s="14" t="s">
        <v>10</v>
      </c>
      <c r="H13" s="15"/>
      <c r="I13" s="16"/>
    </row>
    <row r="14" spans="1:16" ht="15" thickTop="1" x14ac:dyDescent="0.3">
      <c r="B14" s="3" t="s">
        <v>7</v>
      </c>
      <c r="C14" s="4" t="s">
        <v>5</v>
      </c>
      <c r="D14" s="5" t="s">
        <v>6</v>
      </c>
      <c r="G14" s="3" t="s">
        <v>7</v>
      </c>
      <c r="H14" s="4" t="s">
        <v>5</v>
      </c>
      <c r="I14" s="5" t="s">
        <v>6</v>
      </c>
    </row>
    <row r="15" spans="1:16" x14ac:dyDescent="0.3">
      <c r="B15" s="3">
        <v>0</v>
      </c>
      <c r="C15" s="1">
        <f>ROUND($F$7, 3)</f>
        <v>0</v>
      </c>
      <c r="D15" s="6" t="e">
        <f>ROUND($G$7, 3)</f>
        <v>#VALUE!</v>
      </c>
      <c r="G15" s="3">
        <v>0</v>
      </c>
      <c r="H15" s="1">
        <f>ROUND($F$7, 3)</f>
        <v>0</v>
      </c>
      <c r="I15" s="6" t="e">
        <f>ROUND($G$7, 3)</f>
        <v>#VALUE!</v>
      </c>
    </row>
    <row r="16" spans="1:16" x14ac:dyDescent="0.3">
      <c r="B16" s="3">
        <v>1</v>
      </c>
      <c r="C16" s="1">
        <f>ROUND(C15+$I$7, 3)</f>
        <v>0.5</v>
      </c>
      <c r="D16" s="6" t="e" cm="1">
        <f t="array" ref="D16">ROUND(D15+$I$7*yPrime(C15,D15), 3)</f>
        <v>#VALUE!</v>
      </c>
      <c r="G16" s="3">
        <v>1</v>
      </c>
      <c r="H16" s="1">
        <f>ROUND(H15+$I$7, 3)</f>
        <v>0.5</v>
      </c>
      <c r="I16" s="6" t="e" cm="1">
        <f t="array" ref="I16">ROUND(I15+($I$7/2)*(yPrime(H15,I15)+yPrime(H16,(I15+$I$7*yPrime(H15,I15)))), 3)</f>
        <v>#VALUE!</v>
      </c>
    </row>
    <row r="17" spans="2:9" x14ac:dyDescent="0.3">
      <c r="B17" s="3">
        <v>2</v>
      </c>
      <c r="C17" s="1">
        <f>ROUND(C16+$I$7, 3)</f>
        <v>1</v>
      </c>
      <c r="D17" s="6" t="e" cm="1">
        <f t="array" ref="D17">ROUND(D16+$I$7*yPrime(C16,D16), 3)</f>
        <v>#VALUE!</v>
      </c>
      <c r="G17" s="3">
        <v>2</v>
      </c>
      <c r="H17" s="1">
        <f>ROUND(H16+$I$7, 3)</f>
        <v>1</v>
      </c>
      <c r="I17" s="6" t="e" cm="1">
        <f t="array" ref="I17">ROUND(I16+($I$7/2)*(yPrime(H16,I16)+yPrime(H17,(I16+$I$7*yPrime(H16,I16)))), 3)</f>
        <v>#VALUE!</v>
      </c>
    </row>
    <row r="18" spans="2:9" x14ac:dyDescent="0.3">
      <c r="B18" s="3">
        <v>3</v>
      </c>
      <c r="C18" s="1">
        <f>ROUND(C17+$I$7, 3)</f>
        <v>1.5</v>
      </c>
      <c r="D18" s="6" t="e" cm="1">
        <f t="array" ref="D18">ROUND(D17+$I$7*yPrime(C17,D17), 3)</f>
        <v>#VALUE!</v>
      </c>
      <c r="G18" s="3">
        <v>3</v>
      </c>
      <c r="H18" s="1">
        <f>ROUND(H17+$I$7, 3)</f>
        <v>1.5</v>
      </c>
      <c r="I18" s="6" t="e" cm="1">
        <f t="array" ref="I18">ROUND(I17+($I$7/2)*(yPrime(H17,I17)+yPrime(H18,(I17+$I$7*yPrime(H17,I17)))), 3)</f>
        <v>#VALUE!</v>
      </c>
    </row>
    <row r="19" spans="2:9" ht="15" thickBot="1" x14ac:dyDescent="0.35">
      <c r="B19" s="7">
        <v>4</v>
      </c>
      <c r="C19" s="8">
        <f>ROUND(C18+$I$7, 3)</f>
        <v>2</v>
      </c>
      <c r="D19" s="9" t="e" cm="1">
        <f t="array" ref="D19">ROUND(D18+$I$7*yPrime(C18,D18), 3)</f>
        <v>#VALUE!</v>
      </c>
      <c r="G19" s="7">
        <v>4</v>
      </c>
      <c r="H19" s="8">
        <f>ROUND(H18+$I$7, 3)</f>
        <v>2</v>
      </c>
      <c r="I19" s="9" t="e" cm="1">
        <f t="array" ref="I19">ROUND(I18+($I$7/2)*(yPrime(H18,I18)+yPrime(H19,(I18+$I$7*yPrime(H18,I18)))), 3)</f>
        <v>#VALUE!</v>
      </c>
    </row>
    <row r="21" spans="2:9" ht="15" thickBot="1" x14ac:dyDescent="0.35"/>
    <row r="22" spans="2:9" x14ac:dyDescent="0.3">
      <c r="B22" s="17" t="s">
        <v>11</v>
      </c>
      <c r="C22" s="18"/>
      <c r="D22" s="18"/>
      <c r="E22" s="18"/>
      <c r="F22" s="18"/>
      <c r="G22" s="18"/>
      <c r="H22" s="19"/>
    </row>
    <row r="23" spans="2:9" x14ac:dyDescent="0.3">
      <c r="B23" s="3" t="s">
        <v>7</v>
      </c>
      <c r="C23" s="4" t="s">
        <v>5</v>
      </c>
      <c r="D23" s="4" t="s">
        <v>6</v>
      </c>
      <c r="E23" s="4" t="s">
        <v>12</v>
      </c>
      <c r="F23" s="4" t="s">
        <v>13</v>
      </c>
      <c r="G23" s="4" t="s">
        <v>14</v>
      </c>
      <c r="H23" s="5" t="s">
        <v>15</v>
      </c>
    </row>
    <row r="24" spans="2:9" x14ac:dyDescent="0.3">
      <c r="B24" s="3">
        <v>0</v>
      </c>
      <c r="C24" s="1">
        <f>ROUND($F$7, 3)</f>
        <v>0</v>
      </c>
      <c r="D24" s="1" t="e">
        <f>ROUND($G$7, 3)</f>
        <v>#VALUE!</v>
      </c>
      <c r="E24" s="2" t="e" cm="1">
        <f t="array" ref="E24">ROUND(yPrime(C24,D24), 3)</f>
        <v>#VALUE!</v>
      </c>
      <c r="F24" s="2" t="e" cm="1">
        <f t="array" ref="F24">ROUND(yPrime(C24+($I$7/2),D24+(($I$7*E24)/2)), 3)</f>
        <v>#VALUE!</v>
      </c>
      <c r="G24" s="2" t="e" cm="1">
        <f t="array" ref="G24">ROUND(yPrime(C24+($I$7/2),D24+(($I$7*F24)/2)), 3)</f>
        <v>#VALUE!</v>
      </c>
      <c r="H24" s="10" t="e" cm="1">
        <f t="array" ref="H24">ROUND(yPrime(C24+$I$7,D24+$I$7*G24), 3)</f>
        <v>#VALUE!</v>
      </c>
    </row>
    <row r="25" spans="2:9" x14ac:dyDescent="0.3">
      <c r="B25" s="3">
        <v>1</v>
      </c>
      <c r="C25" s="1">
        <f>ROUND(C24+$I$7, 3)</f>
        <v>0.5</v>
      </c>
      <c r="D25" s="1" t="e">
        <f>ROUND(D24+($I$7/6)*(E24+2*F24+2*G24+H24), 3)</f>
        <v>#VALUE!</v>
      </c>
      <c r="E25" s="2" t="e" cm="1">
        <f t="array" ref="E25">ROUND(yPrime(C25,D25), 3)</f>
        <v>#VALUE!</v>
      </c>
      <c r="F25" s="2" t="e" cm="1">
        <f t="array" ref="F25">ROUND(yPrime(C25+($I$7/2),D25+(($I$7*E25)/2)), 3)</f>
        <v>#VALUE!</v>
      </c>
      <c r="G25" s="2" t="e" cm="1">
        <f t="array" ref="G25">ROUND(yPrime(C25+($I$7/2),D25+(($I$7*F25)/2)), 3)</f>
        <v>#VALUE!</v>
      </c>
      <c r="H25" s="10" t="e" cm="1">
        <f t="array" ref="H25">ROUND(yPrime(C25+$I$7,D25+$I$7*G25), 3)</f>
        <v>#VALUE!</v>
      </c>
    </row>
    <row r="26" spans="2:9" x14ac:dyDescent="0.3">
      <c r="B26" s="3">
        <v>2</v>
      </c>
      <c r="C26" s="1">
        <f>ROUND(C25+$I$7, 3)</f>
        <v>1</v>
      </c>
      <c r="D26" s="1" t="e">
        <f>ROUND(D25+($I$7/6)*(E25+2*F25+2*G25+H25), 3)</f>
        <v>#VALUE!</v>
      </c>
      <c r="E26" s="2" t="e" cm="1">
        <f t="array" ref="E26">ROUND(yPrime(C26,D26), 3)</f>
        <v>#VALUE!</v>
      </c>
      <c r="F26" s="2" t="e" cm="1">
        <f t="array" ref="F26">ROUND(yPrime(C26+($I$7/2),D26+(($I$7*E26)/2)), 3)</f>
        <v>#VALUE!</v>
      </c>
      <c r="G26" s="2" t="e" cm="1">
        <f t="array" ref="G26">ROUND(yPrime(C26+($I$7/2),D26+(($I$7*F26)/2)), 3)</f>
        <v>#VALUE!</v>
      </c>
      <c r="H26" s="10" t="e" cm="1">
        <f t="array" ref="H26">ROUND(yPrime(C26+$I$7,D26+$I$7*G26), 3)</f>
        <v>#VALUE!</v>
      </c>
    </row>
    <row r="27" spans="2:9" x14ac:dyDescent="0.3">
      <c r="B27" s="3">
        <v>3</v>
      </c>
      <c r="C27" s="1">
        <f>ROUND(C26+$I$7, 3)</f>
        <v>1.5</v>
      </c>
      <c r="D27" s="1" t="e">
        <f>ROUND(D26+($I$7/6)*(E26+2*F26+2*G26+H26), 3)</f>
        <v>#VALUE!</v>
      </c>
      <c r="E27" s="2" t="e" cm="1">
        <f t="array" ref="E27">ROUND(yPrime(C27,D27), 3)</f>
        <v>#VALUE!</v>
      </c>
      <c r="F27" s="2" t="e" cm="1">
        <f t="array" ref="F27">ROUND(yPrime(C27+($I$7/2),D27+(($I$7*E27)/2)), 3)</f>
        <v>#VALUE!</v>
      </c>
      <c r="G27" s="2" t="e" cm="1">
        <f t="array" ref="G27">ROUND(yPrime(C27+($I$7/2),D27+(($I$7*F27)/2)), 3)</f>
        <v>#VALUE!</v>
      </c>
      <c r="H27" s="10" t="e" cm="1">
        <f t="array" ref="H27">ROUND(yPrime(C27+$I$7,D27+$I$7*G27), 3)</f>
        <v>#VALUE!</v>
      </c>
    </row>
    <row r="28" spans="2:9" ht="15" thickBot="1" x14ac:dyDescent="0.35">
      <c r="B28" s="7">
        <v>4</v>
      </c>
      <c r="C28" s="8">
        <f>ROUND(C27+$I$7, 3)</f>
        <v>2</v>
      </c>
      <c r="D28" s="8" t="e">
        <f>ROUND(D27+($I$7/6)*(E27+2*F27+2*G27+H27), 3)</f>
        <v>#VALUE!</v>
      </c>
      <c r="E28" s="11" t="e" cm="1">
        <f t="array" ref="E28">ROUND(yPrime(C28,D28), 3)</f>
        <v>#VALUE!</v>
      </c>
      <c r="F28" s="11" t="e" cm="1">
        <f t="array" ref="F28">ROUND(yPrime(C28+($I$7/2),D28+(($I$7*E28)/2)), 3)</f>
        <v>#VALUE!</v>
      </c>
      <c r="G28" s="11" t="e" cm="1">
        <f t="array" ref="G28">ROUND(yPrime(C28+($I$7/2),D28+(($I$7*F28)/2)), 3)</f>
        <v>#VALUE!</v>
      </c>
      <c r="H28" s="12" t="e" cm="1">
        <f t="array" ref="H28">ROUND(yPrime(C28+$I$7,D28+$I$7*G28), 3)</f>
        <v>#VALUE!</v>
      </c>
    </row>
  </sheetData>
  <mergeCells count="4">
    <mergeCell ref="B13:D13"/>
    <mergeCell ref="G13:I13"/>
    <mergeCell ref="B22:H22"/>
    <mergeCell ref="M2:P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Борис Васильев</cp:lastModifiedBy>
  <dcterms:created xsi:type="dcterms:W3CDTF">2024-12-02T17:44:07Z</dcterms:created>
  <dcterms:modified xsi:type="dcterms:W3CDTF">2024-12-02T20:06:30Z</dcterms:modified>
</cp:coreProperties>
</file>